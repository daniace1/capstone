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5/"/>
    </mc:Choice>
  </mc:AlternateContent>
  <xr:revisionPtr revIDLastSave="0" documentId="13_ncr:1_{D2D3986F-D6B3-C046-9BA4-8D865CADF98B}" xr6:coauthVersionLast="47" xr6:coauthVersionMax="47" xr10:uidLastSave="{00000000-0000-0000-0000-000000000000}"/>
  <bookViews>
    <workbookView xWindow="0" yWindow="660" windowWidth="26180" windowHeight="16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<sst xmlns="http://schemas.openxmlformats.org/spreadsheetml/2006/main" count="101" uniqueCount="83">
  <si>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</si>
  <si>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</si>
  <si>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</si>
  <si>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</si>
  <si>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</si>
  <si>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</si>
  <si>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</si>
  <si>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</si>
  <si>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</si>
  <si>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</si>
  <si>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</si>
  <si>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</si>
  <si>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</si>
  <si>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</si>
  <si>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</si>
  <si>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</si>
  <si>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</si>
  <si>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</si>
  <si>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</si>
  <si>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</si>
  <si>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</si>
  <si>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</si>
  <si>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</si>
  <si>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</si>
  <si>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</si>
  <si>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</si>
  <si>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</si>
  <si>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</si>
  <si>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</si>
  <si>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</si>
  <si>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</si>
  <si>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</si>
  <si>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</si>
  <si>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</si>
  <si>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</si>
  <si>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</si>
  <si>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</si>
  <si>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</si>
  <si>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</si>
  <si>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</si>
  <si>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</si>
  <si>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</si>
  <si>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</si>
  <si>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</si>
  <si>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</si>
  <si>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</si>
  <si>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</si>
  <si>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</si>
  <si>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</si>
  <si>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</si>
  <si>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</si>
  <si>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</si>
  <si>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</si>
  <si>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</si>
  <si>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</si>
  <si>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</si>
  <si>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</si>
  <si>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</si>
  <si>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</si>
  <si>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</si>
  <si>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</si>
  <si>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</si>
  <si>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</si>
  <si>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Daniel Aceituno</t>
  </si>
  <si>
    <t>Fabian Alarcón</t>
  </si>
  <si>
    <t>Avance del Sistema</t>
  </si>
  <si>
    <t>Se presenta solo un video, donde en base a una foto, se presenta el típo máquina de ejercicio que apare. El texto está en inglés.  Solo un video</t>
  </si>
  <si>
    <t>Durante las 6 semanas de trabaja no se han presentado avances del sistema y el Jira no se ha actualizado</t>
  </si>
  <si>
    <t>Evidencias</t>
  </si>
  <si>
    <t>No ha subido la planilla de evaluación de la Fase 1</t>
  </si>
  <si>
    <t>No ha subido las evidencías de proyecto (Código y BD)</t>
  </si>
  <si>
    <t>No han declarado el uso de IA</t>
  </si>
  <si>
    <t>No ha subido las evidencia individuales</t>
  </si>
  <si>
    <t>El Jira no refleja historias de usuarios finalizadas</t>
  </si>
  <si>
    <t>El en el slide del Problema se incluye la la solución. Favor sacar este punto</t>
  </si>
  <si>
    <t>El  ob. General debe ir antes que los específicos, además debe ser lo que esperan lograr como resultado. Mejorar los OBJ. Espec para que no sean funcionalidades</t>
  </si>
  <si>
    <t>Sacar del slide del Alcance los números y acá deben ser más claros con las funcionalidades</t>
  </si>
  <si>
    <t>Cambiar la Carga Gantt por un release plan basado en las historias de usuarios</t>
  </si>
  <si>
    <t>Respetar el Orden de la ppt entregada al principio del semestre</t>
  </si>
  <si>
    <t>Revisar la Arq. la que debe ser en un diagrama de despliegue</t>
  </si>
  <si>
    <t>En el stack deben estar las herramientas de gestión</t>
  </si>
  <si>
    <t>Faltan varias tildes en los slide</t>
  </si>
  <si>
    <t>Feedback PPT (No evaluable)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</si>
</sst>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6" fillId="0" borderId="24" xfId="0" applyFont="1" applyBorder="1" applyAlignment="1">
      <alignment horizontal="justify" vertical="center" wrapText="1"/>
    </xf>
    <xf numFmtId="0" fontId="1" fillId="3" borderId="12" xfId="0" applyFont="1" applyFill="1" applyBorder="1" applyAlignment="1">
      <alignment vertical="center" wrapText="1"/>
    </xf>
    <xf numFmtId="0" fontId="14" fillId="0" borderId="0" xfId="0" applyFont="1"/>
    <xf numFmtId="0" fontId="14" fillId="0" borderId="0" xfId="0" applyFont="1" applyAlignment="1">
      <alignment horizontal="left" indent="1"/>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368300</xdr:colOff>
      <xdr:row>42</xdr:row>
      <xdr:rowOff>63500</xdr:rowOff>
    </xdr:from>
    <xdr:to>
      <xdr:col>12</xdr:col>
      <xdr:colOff>810102</xdr:colOff>
      <xdr:row>59</xdr:row>
      <xdr:rowOff>50800</xdr:rowOff>
    </xdr:to>
    <xdr:pic>
      <xdr:nvPicPr>
        <xdr:cNvPr id="2" name="Imagen 1">
          <a:extLst>
            <a:ext uri="{FF2B5EF4-FFF2-40B4-BE49-F238E27FC236}">
              <a16:creationId xmlns:a16="http://schemas.microsoft.com/office/drawing/2014/main" id="{1622986F-5479-CAF8-0B08-34CC29D13C1A}"/>
            </a:ext>
          </a:extLst>
        </xdr:cNvPr>
        <xdr:cNvPicPr>
          <a:picLocks noChangeAspect="1"/>
        </xdr:cNvPicPr>
      </xdr:nvPicPr>
      <xdr:blipFill>
        <a:blip xmlns:r="http://schemas.openxmlformats.org/officeDocument/2006/relationships" r:embed="rId1"/>
        <a:stretch>
          <a:fillRect/>
        </a:stretch>
      </xdr:blipFill>
      <xdr:spPr>
        <a:xfrm>
          <a:off x="10591800" y="9753600"/>
          <a:ext cx="5090002" cy="3225800"/>
        </a:xfrm>
        <a:prstGeom prst="rect">
          <a:avLst/>
        </a:prstGeom>
      </xdr:spPr>
    </xdr:pic>
    <xdr:clientData/>
  </xdr:twoCellAnchor>
  <xdr:twoCellAnchor editAs="oneCell">
    <xdr:from>
      <xdr:col>6</xdr:col>
      <xdr:colOff>685800</xdr:colOff>
      <xdr:row>61</xdr:row>
      <xdr:rowOff>139700</xdr:rowOff>
    </xdr:from>
    <xdr:to>
      <xdr:col>12</xdr:col>
      <xdr:colOff>711200</xdr:colOff>
      <xdr:row>77</xdr:row>
      <xdr:rowOff>60937</xdr:rowOff>
    </xdr:to>
    <xdr:pic>
      <xdr:nvPicPr>
        <xdr:cNvPr id="3" name="Imagen 2">
          <a:extLst>
            <a:ext uri="{FF2B5EF4-FFF2-40B4-BE49-F238E27FC236}">
              <a16:creationId xmlns:a16="http://schemas.microsoft.com/office/drawing/2014/main" id="{3C8719D5-1082-9380-941C-81C5549EB937}"/>
            </a:ext>
          </a:extLst>
        </xdr:cNvPr>
        <xdr:cNvPicPr>
          <a:picLocks noChangeAspect="1"/>
        </xdr:cNvPicPr>
      </xdr:nvPicPr>
      <xdr:blipFill>
        <a:blip xmlns:r="http://schemas.openxmlformats.org/officeDocument/2006/relationships" r:embed="rId2"/>
        <a:stretch>
          <a:fillRect/>
        </a:stretch>
      </xdr:blipFill>
      <xdr:spPr>
        <a:xfrm>
          <a:off x="10909300" y="13449300"/>
          <a:ext cx="4673600" cy="2969237"/>
        </a:xfrm>
        <a:prstGeom prst="rect">
          <a:avLst/>
        </a:prstGeom>
      </xdr:spPr>
    </xdr:pic>
    <xdr:clientData/>
  </xdr:twoCellAnchor>
  <xdr:twoCellAnchor editAs="oneCell">
    <xdr:from>
      <xdr:col>6</xdr:col>
      <xdr:colOff>736600</xdr:colOff>
      <xdr:row>78</xdr:row>
      <xdr:rowOff>12700</xdr:rowOff>
    </xdr:from>
    <xdr:to>
      <xdr:col>13</xdr:col>
      <xdr:colOff>317157</xdr:colOff>
      <xdr:row>99</xdr:row>
      <xdr:rowOff>76200</xdr:rowOff>
    </xdr:to>
    <xdr:pic>
      <xdr:nvPicPr>
        <xdr:cNvPr id="4" name="Imagen 3">
          <a:extLst>
            <a:ext uri="{FF2B5EF4-FFF2-40B4-BE49-F238E27FC236}">
              <a16:creationId xmlns:a16="http://schemas.microsoft.com/office/drawing/2014/main" id="{8FC29DB7-1FA4-7913-FCD7-8D8F820ED9BF}"/>
            </a:ext>
          </a:extLst>
        </xdr:cNvPr>
        <xdr:cNvPicPr>
          <a:picLocks noChangeAspect="1"/>
        </xdr:cNvPicPr>
      </xdr:nvPicPr>
      <xdr:blipFill>
        <a:blip xmlns:r="http://schemas.openxmlformats.org/officeDocument/2006/relationships" r:embed="rId3"/>
        <a:stretch>
          <a:fillRect/>
        </a:stretch>
      </xdr:blipFill>
      <xdr:spPr>
        <a:xfrm>
          <a:off x="10960100" y="16560800"/>
          <a:ext cx="5041557" cy="4064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27" sqref="C27"/>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0</v>
      </c>
      <c r="C3" s="30" t="s">
        <v>1</v>
      </c>
    </row>
    <row r="4" spans="1:11" x14ac:dyDescent="0.2">
      <c r="A4" s="4">
        <v>1</v>
      </c>
      <c r="B4" s="22" t="s">
        <v>63</v>
      </c>
      <c r="C4" s="5">
        <f>EVALUACION2!$C$22</f>
        <v>3.2</v>
      </c>
      <c r="G4" s="1"/>
    </row>
    <row r="5" spans="1:11" x14ac:dyDescent="0.2">
      <c r="A5" s="4">
        <v>2</v>
      </c>
      <c r="B5" s="22" t="s">
        <v>64</v>
      </c>
      <c r="C5" s="5">
        <f>EVALUACION2!$C$22</f>
        <v>3.2</v>
      </c>
      <c r="G5" s="1"/>
    </row>
    <row r="6" spans="1:11" x14ac:dyDescent="0.2">
      <c r="A6" s="4">
        <v>3</v>
      </c>
      <c r="B6" s="22"/>
      <c r="C6" s="5">
        <f>EVALUACION2!$C$22</f>
        <v>3.2</v>
      </c>
      <c r="G6" s="1"/>
    </row>
    <row r="11" spans="1:11" ht="19" outlineLevel="1" x14ac:dyDescent="0.2">
      <c r="A11" s="40" t="s">
        <v>1</v>
      </c>
      <c r="B11" s="13"/>
      <c r="C11" s="44" t="s">
        <v>2</v>
      </c>
      <c r="D11" s="45" t="s">
        <v>3</v>
      </c>
      <c r="E11" s="47"/>
      <c r="F11" s="47"/>
      <c r="G11" s="47"/>
      <c r="H11" s="47"/>
      <c r="I11" s="47"/>
      <c r="J11" s="47"/>
      <c r="K11" s="46"/>
    </row>
    <row r="12" spans="1:11" outlineLevel="1" x14ac:dyDescent="0.2">
      <c r="A12" s="41"/>
      <c r="B12" s="33" t="s">
        <v>4</v>
      </c>
      <c r="C12" s="43"/>
      <c r="D12" s="45" t="s">
        <v>5</v>
      </c>
      <c r="E12" s="46"/>
      <c r="F12" s="45" t="s">
        <v>6</v>
      </c>
      <c r="G12" s="46"/>
      <c r="H12" s="48" t="s">
        <v>7</v>
      </c>
      <c r="I12" s="46"/>
      <c r="J12" s="45" t="s">
        <v>8</v>
      </c>
      <c r="K12" s="46"/>
    </row>
    <row r="13" spans="1:11" outlineLevel="1" x14ac:dyDescent="0.2">
      <c r="A13" s="42"/>
      <c r="B13" s="25" t="str">
        <f>RUBRICA!A4</f>
        <v xml:space="preserve">1. Propone ajustes al Proyecto APT considerando dificultades, facilitadores y retroalimentación. </v>
      </c>
      <c r="C13" s="23"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5" customHeight="1" outlineLevel="1" x14ac:dyDescent="0.2">
      <c r="A14" s="42"/>
      <c r="B14" s="25" t="str">
        <f>RUBRICA!A5</f>
        <v>2. Aplica una metodología que permite el logro de los objetivos propuestos, de acuerdo a los estándares de la disciplina.</v>
      </c>
      <c r="C14" s="23" t="s">
        <v>61</v>
      </c>
      <c r="D14" s="14" t="str">
        <f t="shared" si="0"/>
        <v/>
      </c>
      <c r="E14" s="14" t="str">
        <f>IF(D14="X",100*0.1,"")</f>
        <v/>
      </c>
      <c r="F14" s="14" t="str">
        <f t="shared" si="1"/>
        <v/>
      </c>
      <c r="G14" s="14" t="str">
        <f>IF(F14="X",60*0.1,"")</f>
        <v/>
      </c>
      <c r="H14" s="14" t="str">
        <f t="shared" si="2"/>
        <v>X</v>
      </c>
      <c r="I14" s="14">
        <f>IF(H14="X",30*0.1,"")</f>
        <v>3</v>
      </c>
      <c r="J14" s="14" t="str">
        <f t="shared" si="3"/>
        <v/>
      </c>
      <c r="K14" s="14" t="str">
        <f t="shared" si="4"/>
        <v/>
      </c>
    </row>
    <row r="15" spans="1:11" ht="39" outlineLevel="1" x14ac:dyDescent="0.2">
      <c r="A15" s="42"/>
      <c r="B15" s="25" t="str">
        <f>RUBRICA!A6</f>
        <v>3. Genera evidencias que dan cuenta del avance del Proyecto APT en relación a documentación, programación y almacenamiento de datos , de acuerdo a lo planificado por el equipo y que cumpla con estándares de desarrollo de la industria</v>
      </c>
      <c r="C15" s="23" t="s">
        <v>61</v>
      </c>
      <c r="D15" s="14" t="str">
        <f t="shared" si="0"/>
        <v/>
      </c>
      <c r="E15" s="14" t="str">
        <f>IF(D15="X",100*0.25,"")</f>
        <v/>
      </c>
      <c r="F15" s="14" t="str">
        <f t="shared" si="1"/>
        <v/>
      </c>
      <c r="G15" s="14" t="str">
        <f>IF(F15="X",60*0.25,"")</f>
        <v/>
      </c>
      <c r="H15" s="14" t="str">
        <f t="shared" si="2"/>
        <v>X</v>
      </c>
      <c r="I15" s="14">
        <f>IF(H15="X",30*0.25,"")</f>
        <v>7.5</v>
      </c>
      <c r="J15" s="14" t="str">
        <f t="shared" si="3"/>
        <v/>
      </c>
      <c r="K15" s="14" t="str">
        <f t="shared" si="4"/>
        <v/>
      </c>
    </row>
    <row r="16" spans="1:11" ht="26" outlineLevel="1" x14ac:dyDescent="0.2">
      <c r="A16" s="42"/>
      <c r="B16" s="25" t="str">
        <f>RUBRICA!A7</f>
        <v>4. Utiliza de manera precisa el lenguaje técnico en los entregables de acuerdo con lo requerido por la disciplina.</v>
      </c>
      <c r="C16" s="23" t="s">
        <v>61</v>
      </c>
      <c r="D16" s="14" t="str">
        <f t="shared" si="0"/>
        <v/>
      </c>
      <c r="E16" s="14" t="str">
        <f>IF(D16="X",100*0.05,"")</f>
        <v/>
      </c>
      <c r="F16" s="14" t="str">
        <f t="shared" si="1"/>
        <v/>
      </c>
      <c r="G16" s="14" t="str">
        <f>IF(F16="X",60*0.05,"")</f>
        <v/>
      </c>
      <c r="H16" s="14" t="str">
        <f t="shared" si="2"/>
        <v>X</v>
      </c>
      <c r="I16" s="14">
        <f>IF(H16="X",30*0.05,"")</f>
        <v>1.5</v>
      </c>
      <c r="J16" s="14" t="str">
        <f t="shared" si="3"/>
        <v/>
      </c>
      <c r="K16" s="14" t="str">
        <f t="shared" si="4"/>
        <v/>
      </c>
    </row>
    <row r="17" spans="1:11" outlineLevel="1" x14ac:dyDescent="0.2">
      <c r="A17" s="42"/>
      <c r="B17" s="25" t="str">
        <f>RUBRICA!A8</f>
        <v xml:space="preserve">5. Utiliza reglas de redacción, ortografía (literal, puntual, acentual) y las normas para citas y referencias. </v>
      </c>
      <c r="C17" s="23" t="s">
        <v>61</v>
      </c>
      <c r="D17" s="14" t="str">
        <f t="shared" si="0"/>
        <v/>
      </c>
      <c r="E17" s="14" t="str">
        <f>IF(D17="X",100*0.05,"")</f>
        <v/>
      </c>
      <c r="F17" s="14" t="str">
        <f t="shared" si="1"/>
        <v/>
      </c>
      <c r="G17" s="14" t="str">
        <f>IF(F17="X",60*0.05,"")</f>
        <v/>
      </c>
      <c r="H17" s="14" t="str">
        <f t="shared" si="2"/>
        <v>X</v>
      </c>
      <c r="I17" s="14">
        <f>IF(H17="X",30*0.05,"")</f>
        <v>1.5</v>
      </c>
      <c r="J17" s="14" t="str">
        <f t="shared" si="3"/>
        <v/>
      </c>
      <c r="K17" s="14" t="str">
        <f t="shared" si="4"/>
        <v/>
      </c>
    </row>
    <row r="18" spans="1:11" ht="26" outlineLevel="1" x14ac:dyDescent="0.2">
      <c r="A18" s="42"/>
      <c r="B18" s="25" t="str">
        <f>RUBRICA!A9</f>
        <v>6. Entrega la documentación y evidencias requerida por la asignatura de acuerdo a la estrucutra y nombres solicitados, guardando todas las evidencias de avances en Git</v>
      </c>
      <c r="C18" s="23" t="s">
        <v>6</v>
      </c>
      <c r="D18" s="14" t="str">
        <f>IF($C18=CL,"X","")</f>
        <v/>
      </c>
      <c r="E18" s="14" t="str">
        <f>IF(D18="X",100*0.2,"")</f>
        <v/>
      </c>
      <c r="F18" s="14" t="str">
        <f>IF($C18=L,"X","")</f>
        <v>X</v>
      </c>
      <c r="G18" s="14">
        <f>IF(F18="X",60*0.2,"")</f>
        <v>12</v>
      </c>
      <c r="H18" s="14" t="str">
        <f>IF($C18=ML,"X","")</f>
        <v/>
      </c>
      <c r="I18" s="14" t="str">
        <f>IF(H18="X",30*0.2,"")</f>
        <v/>
      </c>
      <c r="J18" s="14" t="str">
        <f>IF($C18=NL,"X","")</f>
        <v/>
      </c>
      <c r="K18" s="14" t="str">
        <f t="shared" ref="K18:K20" si="5">IF($J18="X",0,"")</f>
        <v/>
      </c>
    </row>
    <row r="19" spans="1:11" ht="26" outlineLevel="1" x14ac:dyDescent="0.2">
      <c r="A19" s="42"/>
      <c r="B19" s="25" t="str">
        <f>RUBRICA!A10</f>
        <v>7.- Generan evidencias claras dentro del repositorio  del aporte de cada uno de los integrantes del equipo que permitan identificar la equidad en el trabajo y la participación de cada estudiante.</v>
      </c>
      <c r="C19" s="23" t="s">
        <v>61</v>
      </c>
      <c r="D19" s="14" t="str">
        <f>IF($C19=CL,"X","")</f>
        <v/>
      </c>
      <c r="E19" s="14" t="str">
        <f>IF(D19="X",100*0.15,"")</f>
        <v/>
      </c>
      <c r="F19" s="14" t="str">
        <f>IF($C19=L,"X","")</f>
        <v/>
      </c>
      <c r="G19" s="14" t="str">
        <f>IF(F19="X",60*0.15,"")</f>
        <v/>
      </c>
      <c r="H19" s="14" t="str">
        <f>IF($C19=ML,"X","")</f>
        <v>X</v>
      </c>
      <c r="I19" s="14">
        <f>IF(H19="X",30*0.15,"")</f>
        <v>4.5</v>
      </c>
      <c r="J19" s="14" t="str">
        <f>IF($C19=NL,"X","")</f>
        <v/>
      </c>
      <c r="K19" s="14" t="str">
        <f t="shared" si="5"/>
        <v/>
      </c>
    </row>
    <row r="20" spans="1:11" ht="26" outlineLevel="1" x14ac:dyDescent="0.2">
      <c r="A20" s="42"/>
      <c r="B20" s="25" t="str">
        <f>RUBRICA!A11</f>
        <v>8. Demuestra un trabajo en equipo en donde todos los miembros del equipo expresan con fluidez el conocimiento del tema expuesto y  participan de las actividades planificadas en el proyecto</v>
      </c>
      <c r="C20" s="23" t="s">
        <v>61</v>
      </c>
      <c r="D20" s="14" t="str">
        <f>IF($C20=CL,"X","")</f>
        <v/>
      </c>
      <c r="E20" s="14" t="str">
        <f>IF(D20="X",100*0.1,"")</f>
        <v/>
      </c>
      <c r="F20" s="14" t="str">
        <f>IF($C20=L,"X","")</f>
        <v/>
      </c>
      <c r="G20" s="14" t="str">
        <f>IF(F20="X",60*0.1,"")</f>
        <v/>
      </c>
      <c r="H20" s="14" t="str">
        <f>IF($C20=ML,"X","")</f>
        <v>X</v>
      </c>
      <c r="I20" s="14">
        <f>IF(H20="X",30*0.1,"")</f>
        <v>3</v>
      </c>
      <c r="J20" s="14" t="str">
        <f>IF($C20=NL,"X","")</f>
        <v/>
      </c>
      <c r="K20" s="14" t="str">
        <f t="shared" si="5"/>
        <v/>
      </c>
    </row>
    <row r="21" spans="1:11" ht="15.75" customHeight="1" outlineLevel="1" x14ac:dyDescent="0.25">
      <c r="A21" s="41"/>
      <c r="B21" s="24" t="s">
        <v>9</v>
      </c>
      <c r="C21" s="28">
        <f>E21+G21+I21+K21</f>
        <v>43</v>
      </c>
      <c r="D21" s="15"/>
      <c r="E21" s="15">
        <f>SUM(E13:E20)</f>
        <v>10</v>
      </c>
      <c r="F21" s="15"/>
      <c r="G21" s="15">
        <f>SUM(G13:G20)</f>
        <v>12</v>
      </c>
      <c r="H21" s="15"/>
      <c r="I21" s="15">
        <f>SUM(I13:I20)</f>
        <v>21</v>
      </c>
      <c r="J21" s="15"/>
      <c r="K21" s="15">
        <f>SUM(K13:K20)</f>
        <v>0</v>
      </c>
    </row>
    <row r="22" spans="1:11" ht="15.75" customHeight="1" outlineLevel="1" x14ac:dyDescent="0.25">
      <c r="A22" s="43"/>
      <c r="B22" s="27" t="s">
        <v>10</v>
      </c>
      <c r="C22" s="16">
        <f>VLOOKUP(C21,ESCALA_IEP!A2:B202,2,FALSE)</f>
        <v>3.2</v>
      </c>
    </row>
    <row r="23" spans="1:11" ht="15.75" customHeight="1" x14ac:dyDescent="0.2">
      <c r="D23" t="s">
        <v>11</v>
      </c>
    </row>
    <row r="24" spans="1:11" ht="48" customHeight="1" x14ac:dyDescent="0.2">
      <c r="B24" s="31"/>
    </row>
    <row r="25" spans="1:11" ht="15.75" customHeight="1" x14ac:dyDescent="0.25">
      <c r="B25" s="38" t="s">
        <v>82</v>
      </c>
      <c r="C25" s="17"/>
    </row>
    <row r="26" spans="1:11" x14ac:dyDescent="0.2">
      <c r="B26" s="39" t="s">
        <v>81</v>
      </c>
    </row>
    <row r="27" spans="1:11" ht="15.75" customHeight="1" x14ac:dyDescent="0.2">
      <c r="B27" s="39" t="s">
        <v>74</v>
      </c>
    </row>
    <row r="28" spans="1:11" ht="15.75" customHeight="1" x14ac:dyDescent="0.2">
      <c r="B28" s="39" t="s">
        <v>75</v>
      </c>
    </row>
    <row r="29" spans="1:11" ht="15.75" customHeight="1" x14ac:dyDescent="0.2">
      <c r="B29" s="39" t="s">
        <v>76</v>
      </c>
    </row>
    <row r="30" spans="1:11" ht="15.75" customHeight="1" x14ac:dyDescent="0.2">
      <c r="B30" s="39" t="s">
        <v>77</v>
      </c>
    </row>
    <row r="31" spans="1:11" ht="15.75" customHeight="1" x14ac:dyDescent="0.2">
      <c r="B31" s="39" t="s">
        <v>78</v>
      </c>
    </row>
    <row r="32" spans="1:11" ht="15.75" customHeight="1" x14ac:dyDescent="0.2">
      <c r="B32" s="39" t="s">
        <v>79</v>
      </c>
    </row>
    <row r="33" spans="2:2" ht="15.75" customHeight="1" x14ac:dyDescent="0.2">
      <c r="B33" s="39" t="s">
        <v>80</v>
      </c>
    </row>
    <row r="34" spans="2:2" ht="15.75" customHeight="1" x14ac:dyDescent="0.2"/>
    <row r="35" spans="2:2" ht="15.75" customHeight="1" x14ac:dyDescent="0.2"/>
    <row r="36" spans="2:2" ht="15.75" customHeight="1" x14ac:dyDescent="0.2">
      <c r="B36" s="38" t="s">
        <v>65</v>
      </c>
    </row>
    <row r="37" spans="2:2" ht="15.75" customHeight="1" x14ac:dyDescent="0.2">
      <c r="B37" s="39" t="s">
        <v>66</v>
      </c>
    </row>
    <row r="38" spans="2:2" ht="15.75" customHeight="1" x14ac:dyDescent="0.2">
      <c r="B38" s="38" t="s">
        <v>67</v>
      </c>
    </row>
    <row r="39" spans="2:2" ht="15.75" customHeight="1" x14ac:dyDescent="0.2"/>
    <row r="40" spans="2:2" ht="15.75" customHeight="1" x14ac:dyDescent="0.2"/>
    <row r="41" spans="2:2" ht="15.75" customHeight="1" x14ac:dyDescent="0.2">
      <c r="B41" s="38" t="s">
        <v>68</v>
      </c>
    </row>
    <row r="42" spans="2:2" ht="15.75" customHeight="1" x14ac:dyDescent="0.2">
      <c r="B42" s="38" t="s">
        <v>69</v>
      </c>
    </row>
    <row r="43" spans="2:2" ht="15.75" customHeight="1" x14ac:dyDescent="0.2">
      <c r="B43" s="38" t="s">
        <v>70</v>
      </c>
    </row>
    <row r="44" spans="2:2" ht="15.75" customHeight="1" x14ac:dyDescent="0.2">
      <c r="B44" s="38" t="s">
        <v>71</v>
      </c>
    </row>
    <row r="45" spans="2:2" ht="15.75" customHeight="1" x14ac:dyDescent="0.2">
      <c r="B45" s="38" t="s">
        <v>72</v>
      </c>
    </row>
    <row r="46" spans="2:2" ht="15.75" customHeight="1" x14ac:dyDescent="0.2">
      <c r="B46" s="38" t="s">
        <v>73</v>
      </c>
    </row>
    <row r="47" spans="2:2" ht="15.75" customHeight="1" x14ac:dyDescent="0.2"/>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ColWidth="11.5" defaultRowHeight="15" x14ac:dyDescent="0.2"/>
  <cols>
    <col min="1" max="6" width="38.6640625" customWidth="1"/>
  </cols>
  <sheetData>
    <row r="1" spans="1:6" ht="16" thickBot="1" x14ac:dyDescent="0.25">
      <c r="A1" s="49" t="s">
        <v>12</v>
      </c>
      <c r="B1" s="51" t="s">
        <v>13</v>
      </c>
      <c r="C1" s="52"/>
      <c r="D1" s="52"/>
      <c r="E1" s="53"/>
      <c r="F1" s="49" t="s">
        <v>14</v>
      </c>
    </row>
    <row r="2" spans="1:6" ht="16" x14ac:dyDescent="0.2">
      <c r="A2" s="50"/>
      <c r="B2" s="55" t="s">
        <v>15</v>
      </c>
      <c r="C2" s="55" t="s">
        <v>16</v>
      </c>
      <c r="D2" s="18" t="s">
        <v>17</v>
      </c>
      <c r="E2" s="19" t="s">
        <v>8</v>
      </c>
      <c r="F2" s="50"/>
    </row>
    <row r="3" spans="1:6" ht="16" thickBot="1" x14ac:dyDescent="0.25">
      <c r="A3" s="50"/>
      <c r="B3" s="56"/>
      <c r="C3" s="56"/>
      <c r="D3" s="34">
        <v>-0.3</v>
      </c>
      <c r="E3" s="34">
        <v>0</v>
      </c>
      <c r="F3" s="54"/>
    </row>
    <row r="4" spans="1:6" ht="46" thickBot="1" x14ac:dyDescent="0.25">
      <c r="A4" s="21" t="s">
        <v>18</v>
      </c>
      <c r="B4" s="21" t="s">
        <v>19</v>
      </c>
      <c r="C4" s="21" t="s">
        <v>20</v>
      </c>
      <c r="D4" s="21" t="s">
        <v>21</v>
      </c>
      <c r="E4" s="21" t="s">
        <v>22</v>
      </c>
      <c r="F4" s="20">
        <v>10</v>
      </c>
    </row>
    <row r="5" spans="1:6" ht="61" thickBot="1" x14ac:dyDescent="0.25">
      <c r="A5" s="21" t="s">
        <v>23</v>
      </c>
      <c r="B5" s="21" t="s">
        <v>24</v>
      </c>
      <c r="C5" s="21" t="s">
        <v>25</v>
      </c>
      <c r="D5" s="21" t="s">
        <v>26</v>
      </c>
      <c r="E5" s="21" t="s">
        <v>27</v>
      </c>
      <c r="F5" s="20">
        <v>10</v>
      </c>
    </row>
    <row r="6" spans="1:6" ht="91" thickBot="1" x14ac:dyDescent="0.25">
      <c r="A6" s="21" t="s">
        <v>28</v>
      </c>
      <c r="B6" s="21" t="s">
        <v>29</v>
      </c>
      <c r="C6" s="21" t="s">
        <v>30</v>
      </c>
      <c r="D6" s="21" t="s">
        <v>31</v>
      </c>
      <c r="E6" s="21" t="s">
        <v>32</v>
      </c>
      <c r="F6" s="20">
        <v>25</v>
      </c>
    </row>
    <row r="7" spans="1:6" ht="46" thickBot="1" x14ac:dyDescent="0.25">
      <c r="A7" s="21" t="s">
        <v>33</v>
      </c>
      <c r="B7" s="21" t="s">
        <v>34</v>
      </c>
      <c r="C7" s="21" t="s">
        <v>35</v>
      </c>
      <c r="D7" s="21" t="s">
        <v>36</v>
      </c>
      <c r="E7" s="21" t="s">
        <v>37</v>
      </c>
      <c r="F7" s="20">
        <v>5</v>
      </c>
    </row>
    <row r="8" spans="1:6" ht="45" x14ac:dyDescent="0.2">
      <c r="A8" s="21" t="s">
        <v>38</v>
      </c>
      <c r="B8" s="21" t="s">
        <v>39</v>
      </c>
      <c r="C8" s="21" t="s">
        <v>40</v>
      </c>
      <c r="D8" s="21" t="s">
        <v>41</v>
      </c>
      <c r="E8" s="21" t="s">
        <v>42</v>
      </c>
      <c r="F8" s="35">
        <v>5</v>
      </c>
    </row>
    <row r="9" spans="1:6" ht="61" thickBot="1" x14ac:dyDescent="0.25">
      <c r="A9" s="21" t="s">
        <v>43</v>
      </c>
      <c r="B9" s="21" t="s">
        <v>44</v>
      </c>
      <c r="C9" s="21" t="s">
        <v>45</v>
      </c>
      <c r="D9" s="21" t="s">
        <v>46</v>
      </c>
      <c r="E9" s="21" t="s">
        <v>47</v>
      </c>
      <c r="F9" s="20">
        <v>20</v>
      </c>
    </row>
    <row r="10" spans="1:6" ht="61" thickBot="1" x14ac:dyDescent="0.25">
      <c r="A10" s="36" t="s">
        <v>48</v>
      </c>
      <c r="B10" s="36" t="s">
        <v>49</v>
      </c>
      <c r="C10" s="36" t="s">
        <v>50</v>
      </c>
      <c r="D10" s="36" t="s">
        <v>51</v>
      </c>
      <c r="E10" s="36" t="s">
        <v>52</v>
      </c>
      <c r="F10" s="29">
        <v>15</v>
      </c>
    </row>
    <row r="11" spans="1:6" ht="81.5" customHeight="1" x14ac:dyDescent="0.2">
      <c r="A11" s="21" t="s">
        <v>53</v>
      </c>
      <c r="B11" s="21" t="s">
        <v>54</v>
      </c>
      <c r="C11" s="21" t="s">
        <v>55</v>
      </c>
      <c r="D11" s="21" t="s">
        <v>56</v>
      </c>
      <c r="E11" s="21" t="s">
        <v>57</v>
      </c>
      <c r="F11" s="32">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58</v>
      </c>
      <c r="B1" t="s">
        <v>59</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7" t="s">
        <v>60</v>
      </c>
      <c r="B1" s="6" t="s">
        <v>9</v>
      </c>
      <c r="C1" s="7"/>
      <c r="D1" s="7"/>
      <c r="E1" s="8"/>
    </row>
    <row r="2" spans="1:5" ht="49" thickBot="1" x14ac:dyDescent="0.25">
      <c r="A2" s="58"/>
      <c r="B2" s="9" t="s">
        <v>5</v>
      </c>
      <c r="C2" s="10" t="s">
        <v>6</v>
      </c>
      <c r="D2" s="26" t="s">
        <v>61</v>
      </c>
      <c r="E2" s="37" t="s">
        <v>8</v>
      </c>
    </row>
    <row r="3" spans="1:5" ht="33" thickBot="1" x14ac:dyDescent="0.25">
      <c r="A3" s="11" t="s">
        <v>62</v>
      </c>
      <c r="B3" s="12">
        <v>4</v>
      </c>
      <c r="C3" s="12">
        <v>3</v>
      </c>
      <c r="D3" s="12">
        <v>2</v>
      </c>
      <c r="E3" s="12">
        <v>0</v>
      </c>
    </row>
    <row r="4" spans="1:5" ht="16" thickBot="1" x14ac:dyDescent="0.25">
      <c r="A4" s="11"/>
      <c r="B4" s="12"/>
      <c r="C4" s="12"/>
      <c r="D4" s="12"/>
      <c r="E4" s="12"/>
    </row>
    <row r="5" spans="1:5" ht="16" thickBot="1" x14ac:dyDescent="0.25">
      <c r="A5" s="11"/>
      <c r="B5" s="12"/>
      <c r="C5" s="12"/>
      <c r="D5" s="12"/>
      <c r="E5"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2026-05-22T20:02:58Z</dcterms:modified>
  <cp:category/>
  <cp:contentStatus/>
</cp:coreProperties>
</file>