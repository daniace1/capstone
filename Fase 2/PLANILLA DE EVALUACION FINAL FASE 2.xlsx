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5/"/>
    </mc:Choice>
  </mc:AlternateContent>
  <xr:revisionPtr revIDLastSave="0" documentId="13_ncr:1_{7B1E1A7B-00B0-9744-B447-DB7F28696961}" xr6:coauthVersionLast="47" xr6:coauthVersionMax="47" xr10:uidLastSave="{00000000-0000-0000-0000-000000000000}"/>
  <bookViews>
    <workbookView xWindow="0" yWindow="660" windowWidth="28460" windowHeight="1508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<sst xmlns="http://schemas.openxmlformats.org/spreadsheetml/2006/main" count="150" uniqueCount="91">
  <si>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</si>
  <si>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</si>
  <si>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</si>
  <si>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</si>
  <si>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</si>
  <si>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</si>
  <si>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</si>
  <si>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</si>
  <si>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</si>
  <si>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</si>
  <si>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</si>
  <si>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</si>
  <si>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</si>
  <si>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</si>
  <si>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</si>
  <si>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</si>
  <si>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</si>
  <si>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</si>
  <si>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</si>
  <si>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</si>
  <si>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</si>
  <si>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</si>
  <si>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</si>
  <si>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</si>
  <si>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</si>
  <si>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</si>
  <si>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</si>
  <si>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</si>
  <si>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</si>
  <si>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</si>
  <si>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</si>
  <si>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</si>
  <si>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</si>
  <si>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</si>
  <si>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</si>
  <si>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</si>
  <si>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</si>
  <si>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</si>
  <si>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</si>
  <si>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</si>
  <si>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</si>
  <si>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</si>
  <si>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</si>
  <si>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</si>
  <si>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</si>
  <si>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</si>
  <si>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</si>
  <si>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</si>
  <si>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</si>
  <si>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</si>
  <si>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</si>
  <si>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</si>
  <si>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</si>
  <si>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</si>
  <si>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</si>
  <si>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</si>
  <si>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</si>
  <si>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</si>
  <si>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</si>
  <si>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</si>
  <si>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</si>
  <si>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</si>
  <si>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</si>
  <si>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</si>
  <si>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</si>
  <si>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</si>
  <si>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</si>
  <si>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</si>
  <si>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</si>
  <si>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</si>
  <si>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</si>
  <si>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</si>
  <si>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</si>
  <si>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</si>
  <si>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</si>
  <si>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</si>
  <si>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Daniel Aceituno</t>
  </si>
  <si>
    <t>Fabian Alarcón</t>
  </si>
  <si>
    <t>Mejorar OBJ. General</t>
  </si>
  <si>
    <t>El alcance es técnico (no cambiarse de personas)</t>
  </si>
  <si>
    <t>Mejorar arq. Y modelo</t>
  </si>
  <si>
    <t>Faltan Herramientas</t>
  </si>
  <si>
    <t>APP: Explicar porque lo están capturando…</t>
  </si>
  <si>
    <t>Comentarios PPT</t>
  </si>
  <si>
    <t>Mejorar Limtaciones</t>
  </si>
  <si>
    <t>Falta release</t>
  </si>
  <si>
    <t>No se ve la generación de las rutinas</t>
  </si>
  <si>
    <t>La demostración muestra funcionalidades muy limitadas</t>
  </si>
  <si>
    <t>No se registra el avance de la persona y como la IA lo ayuda</t>
  </si>
  <si>
    <t>GIT: Faltan las evidencias individuales y del sistema</t>
  </si>
  <si>
    <t>Jira: El uso de Jira aportó poco a la gestión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</si>
</sst>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4" fillId="0" borderId="0" xfId="0" applyFont="1"/>
    <xf numFmtId="0" fontId="14" fillId="0" borderId="0" xfId="0" applyFont="1" applyAlignment="1">
      <alignment horizontal="left" inden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740833</xdr:colOff>
      <xdr:row>63</xdr:row>
      <xdr:rowOff>169333</xdr:rowOff>
    </xdr:from>
    <xdr:to>
      <xdr:col>5</xdr:col>
      <xdr:colOff>647710</xdr:colOff>
      <xdr:row>78</xdr:row>
      <xdr:rowOff>137584</xdr:rowOff>
    </xdr:to>
    <xdr:pic>
      <xdr:nvPicPr>
        <xdr:cNvPr id="2" name="Imagen 1">
          <a:extLst>
            <a:ext uri="{FF2B5EF4-FFF2-40B4-BE49-F238E27FC236}">
              <a16:creationId xmlns:a16="http://schemas.microsoft.com/office/drawing/2014/main" id="{BC037AF8-2222-E84A-DB4A-CAC2FEACE7D7}"/>
            </a:ext>
          </a:extLst>
        </xdr:cNvPr>
        <xdr:cNvPicPr>
          <a:picLocks noChangeAspect="1"/>
        </xdr:cNvPicPr>
      </xdr:nvPicPr>
      <xdr:blipFill>
        <a:blip xmlns:r="http://schemas.openxmlformats.org/officeDocument/2006/relationships" r:embed="rId1"/>
        <a:stretch>
          <a:fillRect/>
        </a:stretch>
      </xdr:blipFill>
      <xdr:spPr>
        <a:xfrm>
          <a:off x="6646333" y="13726583"/>
          <a:ext cx="3335877" cy="2825751"/>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69" t="s">
        <v>0</v>
      </c>
      <c r="B1" s="69" t="s">
        <v>1</v>
      </c>
      <c r="C1" s="69"/>
      <c r="D1" s="69"/>
      <c r="E1" s="69"/>
      <c r="F1" s="69" t="s">
        <v>2</v>
      </c>
    </row>
    <row r="2" spans="1:6" ht="16" x14ac:dyDescent="0.2">
      <c r="A2" s="69"/>
      <c r="B2" s="70" t="s">
        <v>3</v>
      </c>
      <c r="C2" s="70" t="s">
        <v>4</v>
      </c>
      <c r="D2" s="35" t="s">
        <v>5</v>
      </c>
      <c r="E2" s="34" t="s">
        <v>6</v>
      </c>
      <c r="F2" s="69"/>
    </row>
    <row r="3" spans="1:6" x14ac:dyDescent="0.2">
      <c r="A3" s="69"/>
      <c r="B3" s="70"/>
      <c r="C3" s="70"/>
      <c r="D3" s="36">
        <v>-0.3</v>
      </c>
      <c r="E3" s="36">
        <v>0</v>
      </c>
      <c r="F3" s="69"/>
    </row>
    <row r="4" spans="1:6" ht="45" x14ac:dyDescent="0.2">
      <c r="A4" s="37" t="s">
        <v>7</v>
      </c>
      <c r="B4" s="37" t="s">
        <v>8</v>
      </c>
      <c r="C4" s="37" t="s">
        <v>9</v>
      </c>
      <c r="D4" s="37" t="s">
        <v>10</v>
      </c>
      <c r="E4" s="37" t="s">
        <v>11</v>
      </c>
      <c r="F4" s="38">
        <v>10</v>
      </c>
    </row>
    <row r="5" spans="1:6" ht="75" x14ac:dyDescent="0.2">
      <c r="A5" s="41" t="s">
        <v>12</v>
      </c>
      <c r="B5" s="37" t="s">
        <v>13</v>
      </c>
      <c r="C5" s="37" t="s">
        <v>14</v>
      </c>
      <c r="D5" s="37" t="s">
        <v>15</v>
      </c>
      <c r="E5" s="37" t="s">
        <v>16</v>
      </c>
      <c r="F5" s="38">
        <v>20</v>
      </c>
    </row>
    <row r="6" spans="1:6" ht="31" thickBot="1" x14ac:dyDescent="0.25">
      <c r="A6" s="41" t="s">
        <v>17</v>
      </c>
      <c r="B6" s="37" t="s">
        <v>18</v>
      </c>
      <c r="C6" s="37" t="s">
        <v>19</v>
      </c>
      <c r="D6" s="37" t="s">
        <v>20</v>
      </c>
      <c r="E6" s="37" t="s">
        <v>21</v>
      </c>
      <c r="F6" s="38">
        <v>5</v>
      </c>
    </row>
    <row r="7" spans="1:6" ht="60" x14ac:dyDescent="0.2">
      <c r="A7" s="42" t="s">
        <v>22</v>
      </c>
      <c r="B7" s="43" t="s">
        <v>23</v>
      </c>
      <c r="C7" s="43" t="s">
        <v>24</v>
      </c>
      <c r="D7" s="43" t="s">
        <v>25</v>
      </c>
      <c r="E7" s="44" t="s">
        <v>26</v>
      </c>
      <c r="F7" s="38">
        <v>5</v>
      </c>
    </row>
    <row r="8" spans="1:6" ht="45" x14ac:dyDescent="0.2">
      <c r="A8" s="41" t="s">
        <v>27</v>
      </c>
      <c r="B8" s="37" t="s">
        <v>28</v>
      </c>
      <c r="C8" s="37" t="s">
        <v>29</v>
      </c>
      <c r="D8" s="37" t="s">
        <v>30</v>
      </c>
      <c r="E8" s="37" t="s">
        <v>31</v>
      </c>
      <c r="F8" s="38">
        <v>5</v>
      </c>
    </row>
    <row r="9" spans="1:6" ht="45" x14ac:dyDescent="0.2">
      <c r="A9" s="41" t="s">
        <v>32</v>
      </c>
      <c r="B9" s="37" t="s">
        <v>33</v>
      </c>
      <c r="C9" s="37" t="s">
        <v>34</v>
      </c>
      <c r="D9" s="37" t="s">
        <v>35</v>
      </c>
      <c r="E9" s="37" t="s">
        <v>36</v>
      </c>
      <c r="F9" s="38">
        <v>5</v>
      </c>
    </row>
    <row r="10" spans="1:6" ht="60" x14ac:dyDescent="0.2">
      <c r="A10" s="41" t="s">
        <v>37</v>
      </c>
      <c r="B10" s="37" t="s">
        <v>38</v>
      </c>
      <c r="C10" s="37" t="s">
        <v>39</v>
      </c>
      <c r="D10" s="37" t="s">
        <v>40</v>
      </c>
      <c r="E10" s="37" t="s">
        <v>41</v>
      </c>
      <c r="F10" s="38">
        <v>15</v>
      </c>
    </row>
    <row r="11" spans="1:6" ht="61" thickBot="1" x14ac:dyDescent="0.25">
      <c r="A11" s="45" t="s">
        <v>42</v>
      </c>
      <c r="B11" s="26" t="s">
        <v>43</v>
      </c>
      <c r="C11" s="26" t="s">
        <v>44</v>
      </c>
      <c r="D11" s="26" t="s">
        <v>45</v>
      </c>
      <c r="E11" s="46" t="s">
        <v>46</v>
      </c>
      <c r="F11" s="38">
        <v>10</v>
      </c>
    </row>
    <row r="12" spans="1:6" ht="61" thickBot="1" x14ac:dyDescent="0.25">
      <c r="A12" s="47" t="s">
        <v>47</v>
      </c>
      <c r="B12" s="48" t="s">
        <v>48</v>
      </c>
      <c r="C12" s="48" t="s">
        <v>49</v>
      </c>
      <c r="D12" s="48" t="s">
        <v>50</v>
      </c>
      <c r="E12" s="48" t="s">
        <v>51</v>
      </c>
      <c r="F12" s="49">
        <v>15</v>
      </c>
    </row>
    <row r="13" spans="1:6" ht="91" thickBot="1" x14ac:dyDescent="0.2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62" zoomScale="120" zoomScaleNormal="120" workbookViewId="0">
      <selection activeCell="B75" sqref="B7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6">
        <v>1</v>
      </c>
    </row>
    <row r="3" spans="1:11" ht="16" x14ac:dyDescent="0.2">
      <c r="B3" s="3" t="s">
        <v>57</v>
      </c>
      <c r="C3" s="39" t="s">
        <v>58</v>
      </c>
      <c r="D3" s="40" t="s">
        <v>59</v>
      </c>
      <c r="E3" s="52"/>
    </row>
    <row r="4" spans="1:11" x14ac:dyDescent="0.2">
      <c r="A4" s="4">
        <v>1</v>
      </c>
      <c r="B4" s="73" t="s">
        <v>76</v>
      </c>
      <c r="C4" s="5">
        <f>EVALUACION1!$C$21</f>
        <v>3.9</v>
      </c>
      <c r="D4" s="5">
        <f>$C$32</f>
        <v>3.8</v>
      </c>
      <c r="E4" s="6">
        <f>C4*C$2+D4*D$2</f>
        <v>3.875</v>
      </c>
      <c r="G4" s="1"/>
    </row>
    <row r="5" spans="1:11" x14ac:dyDescent="0.2">
      <c r="A5" s="4">
        <v>2</v>
      </c>
      <c r="B5" s="73" t="s">
        <v>77</v>
      </c>
      <c r="C5" s="5">
        <f>EVALUACION1!$C$21</f>
        <v>3.9</v>
      </c>
      <c r="D5" s="5">
        <f>C44</f>
        <v>3.8</v>
      </c>
      <c r="E5" s="6">
        <f t="shared" ref="E5:E6" si="0">C5*C$2+D5*D$2</f>
        <v>3.875</v>
      </c>
      <c r="G5" s="1"/>
    </row>
    <row r="6" spans="1:11" x14ac:dyDescent="0.2">
      <c r="A6" s="4">
        <v>3</v>
      </c>
      <c r="B6" s="27"/>
      <c r="C6" s="5">
        <f>EVALUACION1!$C$21</f>
        <v>3.9</v>
      </c>
      <c r="D6" s="5">
        <f>C55</f>
        <v>7</v>
      </c>
      <c r="E6" s="6">
        <f t="shared" si="0"/>
        <v>4.6749999999999998</v>
      </c>
      <c r="G6" s="1"/>
    </row>
    <row r="11" spans="1:11" ht="19" outlineLevel="1" x14ac:dyDescent="0.2">
      <c r="A11" s="67" t="s">
        <v>58</v>
      </c>
      <c r="B11" s="14"/>
      <c r="C11" s="53" t="s">
        <v>60</v>
      </c>
      <c r="D11" s="60" t="s">
        <v>61</v>
      </c>
      <c r="E11" s="65"/>
      <c r="F11" s="65"/>
      <c r="G11" s="65"/>
      <c r="H11" s="65"/>
      <c r="I11" s="65"/>
      <c r="J11" s="65"/>
      <c r="K11" s="61"/>
    </row>
    <row r="12" spans="1:11" outlineLevel="1" x14ac:dyDescent="0.2">
      <c r="A12" s="63"/>
      <c r="B12" s="24" t="s">
        <v>62</v>
      </c>
      <c r="C12" s="52"/>
      <c r="D12" s="60" t="s">
        <v>63</v>
      </c>
      <c r="E12" s="61"/>
      <c r="F12" s="60" t="s">
        <v>64</v>
      </c>
      <c r="G12" s="61"/>
      <c r="H12" s="64" t="s">
        <v>65</v>
      </c>
      <c r="I12" s="61"/>
      <c r="J12" s="60" t="s">
        <v>6</v>
      </c>
      <c r="K12" s="61"/>
    </row>
    <row r="13" spans="1:11" ht="26" outlineLevel="1" x14ac:dyDescent="0.2">
      <c r="A13" s="68"/>
      <c r="B13" s="30" t="str">
        <f>RUBRICA!A4</f>
        <v>1. Implementa una metodología que permite el logro de los objetivos propuestos, de acuerdo a los estándares de la disciplina.</v>
      </c>
      <c r="C13" s="28" t="s">
        <v>74</v>
      </c>
      <c r="D13" s="16" t="str">
        <f t="shared" ref="D13:D16" si="1">IF($C13=CL,"X","")</f>
        <v/>
      </c>
      <c r="E13" s="16" t="str">
        <f>IF(D13="X",100*0.1,"")</f>
        <v/>
      </c>
      <c r="F13" s="16" t="str">
        <f t="shared" ref="F13:F16" si="2">IF($C13=L,"X","")</f>
        <v/>
      </c>
      <c r="G13" s="16" t="str">
        <f>IF(F13="X",60*0.1,"")</f>
        <v/>
      </c>
      <c r="H13" s="16" t="str">
        <f t="shared" ref="H13:H16" si="3">IF($C13=ML,"X","")</f>
        <v>X</v>
      </c>
      <c r="I13" s="16">
        <f>IF(H13="X",30*0.1,"")</f>
        <v>3</v>
      </c>
      <c r="J13" s="16" t="str">
        <f t="shared" ref="J13:J16" si="4">IF($C13=NL,"X","")</f>
        <v/>
      </c>
      <c r="K13" s="16" t="str">
        <f t="shared" ref="K13:K16" si="5">IF($J13="X",0,"")</f>
        <v/>
      </c>
    </row>
    <row r="14" spans="1:11" ht="39" outlineLevel="1" x14ac:dyDescent="0.2">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74</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outlineLevel="1" x14ac:dyDescent="0.2">
      <c r="A15" s="68"/>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68"/>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68"/>
      <c r="B18" s="30" t="str">
        <f>RUBRICA!A10</f>
        <v>7. Entrega la documentación y evidencias requerida por la asignatura de acuerdo a la estrucutra y nombres solicitados, guardando todas las evidencias de avances en Git</v>
      </c>
      <c r="C18" s="28" t="s">
        <v>74</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23" customHeight="1" outlineLevel="1" x14ac:dyDescent="0.2">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3"/>
      <c r="B20" s="29" t="s">
        <v>66</v>
      </c>
      <c r="C20" s="33">
        <f>E20+G20+I20+K20</f>
        <v>43.5</v>
      </c>
      <c r="D20" s="19"/>
      <c r="E20" s="19">
        <f>SUM(E13:E19)</f>
        <v>30</v>
      </c>
      <c r="F20" s="19"/>
      <c r="G20" s="19">
        <f>SUM(G13:G19)</f>
        <v>0</v>
      </c>
      <c r="H20" s="19"/>
      <c r="I20" s="19">
        <f>SUM(I13:I19)</f>
        <v>13.5</v>
      </c>
      <c r="J20" s="19"/>
      <c r="K20" s="19">
        <f>SUM(K13:K19)</f>
        <v>0</v>
      </c>
    </row>
    <row r="21" spans="1:11" ht="15.75" customHeight="1" outlineLevel="1" x14ac:dyDescent="0.25">
      <c r="A21" s="52"/>
      <c r="B21" s="32" t="s">
        <v>67</v>
      </c>
      <c r="C21" s="20">
        <f>VLOOKUP(C20,ESCALA_IEP!A1:B152,2,FALSE)</f>
        <v>3.9</v>
      </c>
    </row>
    <row r="22" spans="1:11" ht="15.75" customHeight="1" x14ac:dyDescent="0.2"/>
    <row r="23" spans="1:11" ht="15.75" customHeight="1" x14ac:dyDescent="0.2"/>
    <row r="24" spans="1:11" ht="15.75" customHeight="1" x14ac:dyDescent="0.2">
      <c r="A24" s="62" t="s">
        <v>59</v>
      </c>
      <c r="B24" s="51" t="s">
        <v>68</v>
      </c>
      <c r="C24" s="54" t="str">
        <f>$B$4</f>
        <v>Daniel Aceituno</v>
      </c>
      <c r="D24" s="55"/>
      <c r="E24" s="55"/>
      <c r="F24" s="55"/>
      <c r="G24" s="55"/>
      <c r="H24" s="55"/>
      <c r="I24" s="55"/>
      <c r="J24" s="55"/>
      <c r="K24" s="56"/>
    </row>
    <row r="25" spans="1:11" ht="15.75" customHeight="1" x14ac:dyDescent="0.2">
      <c r="A25" s="63"/>
      <c r="B25" s="52"/>
      <c r="C25" s="57"/>
      <c r="D25" s="58"/>
      <c r="E25" s="58"/>
      <c r="F25" s="58"/>
      <c r="G25" s="58"/>
      <c r="H25" s="58"/>
      <c r="I25" s="58"/>
      <c r="J25" s="58"/>
      <c r="K25" s="59"/>
    </row>
    <row r="26" spans="1:11" ht="15.75" customHeight="1" x14ac:dyDescent="0.2">
      <c r="A26" s="63"/>
      <c r="B26" s="14" t="s">
        <v>69</v>
      </c>
      <c r="C26" s="53" t="s">
        <v>60</v>
      </c>
      <c r="D26" s="60" t="s">
        <v>61</v>
      </c>
      <c r="E26" s="65"/>
      <c r="F26" s="65"/>
      <c r="G26" s="65"/>
      <c r="H26" s="65"/>
      <c r="I26" s="65"/>
      <c r="J26" s="65"/>
      <c r="K26" s="61"/>
    </row>
    <row r="27" spans="1:11" ht="15.75" customHeight="1" x14ac:dyDescent="0.2">
      <c r="A27" s="63"/>
      <c r="B27" s="15" t="s">
        <v>62</v>
      </c>
      <c r="C27" s="52"/>
      <c r="D27" s="60" t="s">
        <v>63</v>
      </c>
      <c r="E27" s="61"/>
      <c r="F27" s="60" t="s">
        <v>64</v>
      </c>
      <c r="G27" s="61"/>
      <c r="H27" s="64" t="s">
        <v>65</v>
      </c>
      <c r="I27" s="61"/>
      <c r="J27" s="60" t="s">
        <v>6</v>
      </c>
      <c r="K27" s="61"/>
    </row>
    <row r="28" spans="1:11" x14ac:dyDescent="0.2">
      <c r="A28" s="63"/>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3"/>
      <c r="B29" s="30" t="str">
        <f>RUBRICA!A11</f>
        <v>8. Expone el tema utilizando un lenguaje técnico disciplinar al presentar la propuesta y responde evidenciando un manejo de la información. *</v>
      </c>
      <c r="C29" s="28" t="s">
        <v>74</v>
      </c>
      <c r="D29" s="16" t="str">
        <f t="shared" si="7"/>
        <v/>
      </c>
      <c r="E29" s="16" t="str">
        <f>IF(D29="X",100*0.1,"")</f>
        <v/>
      </c>
      <c r="F29" s="16" t="str">
        <f t="shared" si="8"/>
        <v/>
      </c>
      <c r="G29" s="16" t="str">
        <f>IF(F29="X",60*0.1,"")</f>
        <v/>
      </c>
      <c r="H29" s="16" t="str">
        <f t="shared" si="9"/>
        <v>X</v>
      </c>
      <c r="I29" s="16">
        <f>IF(H29="X",30*0.1,"")</f>
        <v>3</v>
      </c>
      <c r="J29" s="16" t="str">
        <f t="shared" si="10"/>
        <v/>
      </c>
      <c r="K29" s="16" t="str">
        <f t="shared" si="11"/>
        <v/>
      </c>
    </row>
    <row r="30" spans="1:11" ht="26" customHeight="1" x14ac:dyDescent="0.2">
      <c r="A30" s="63"/>
      <c r="B30" s="30" t="str">
        <f>RUBRICA!A13</f>
        <v>10. Colaboración y trabajo en equipo *</v>
      </c>
      <c r="C30" s="28" t="s">
        <v>64</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x14ac:dyDescent="0.25">
      <c r="A31" s="63"/>
      <c r="B31" s="21" t="s">
        <v>70</v>
      </c>
      <c r="C31" s="18">
        <f>E31+G31+I31+K31</f>
        <v>14</v>
      </c>
      <c r="D31" s="19"/>
      <c r="E31" s="19">
        <f>SUM(E28:E30)</f>
        <v>5</v>
      </c>
      <c r="F31" s="19"/>
      <c r="G31" s="19">
        <f>SUM(G28:G30)</f>
        <v>6</v>
      </c>
      <c r="H31" s="19"/>
      <c r="I31" s="19">
        <f>SUM(I28:I30)</f>
        <v>3</v>
      </c>
      <c r="J31" s="19"/>
      <c r="K31" s="19">
        <f>SUM(K29:K30)</f>
        <v>0</v>
      </c>
    </row>
    <row r="32" spans="1:11" ht="15.75" customHeight="1" x14ac:dyDescent="0.25">
      <c r="A32" s="52"/>
      <c r="B32" s="17" t="s">
        <v>67</v>
      </c>
      <c r="C32" s="20">
        <f>VLOOKUP(C31,ESCALA_TRAB_EQUIP!A1:B52,2,FALSE)</f>
        <v>3.8</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2" t="s">
        <v>59</v>
      </c>
      <c r="B36" s="51" t="s">
        <v>68</v>
      </c>
      <c r="C36" s="54" t="str">
        <f>B5</f>
        <v>Fabian Alarcón</v>
      </c>
      <c r="D36" s="55"/>
      <c r="E36" s="55"/>
      <c r="F36" s="55"/>
      <c r="G36" s="55"/>
      <c r="H36" s="55"/>
      <c r="I36" s="55"/>
      <c r="J36" s="55"/>
      <c r="K36" s="56"/>
    </row>
    <row r="37" spans="1:11" ht="15.75" customHeight="1" x14ac:dyDescent="0.2">
      <c r="A37" s="63"/>
      <c r="B37" s="52"/>
      <c r="C37" s="57"/>
      <c r="D37" s="58"/>
      <c r="E37" s="58"/>
      <c r="F37" s="58"/>
      <c r="G37" s="58"/>
      <c r="H37" s="58"/>
      <c r="I37" s="58"/>
      <c r="J37" s="58"/>
      <c r="K37" s="59"/>
    </row>
    <row r="38" spans="1:11" ht="15.75" customHeight="1" x14ac:dyDescent="0.2">
      <c r="A38" s="63"/>
      <c r="B38" s="14" t="s">
        <v>69</v>
      </c>
      <c r="C38" s="53" t="s">
        <v>60</v>
      </c>
      <c r="D38" s="60" t="s">
        <v>61</v>
      </c>
      <c r="E38" s="65"/>
      <c r="F38" s="65"/>
      <c r="G38" s="65"/>
      <c r="H38" s="65"/>
      <c r="I38" s="65"/>
      <c r="J38" s="65"/>
      <c r="K38" s="61"/>
    </row>
    <row r="39" spans="1:11" ht="15.75" customHeight="1" x14ac:dyDescent="0.2">
      <c r="A39" s="63"/>
      <c r="B39" s="15" t="s">
        <v>62</v>
      </c>
      <c r="C39" s="52"/>
      <c r="D39" s="60" t="s">
        <v>63</v>
      </c>
      <c r="E39" s="61"/>
      <c r="F39" s="60" t="s">
        <v>64</v>
      </c>
      <c r="G39" s="61"/>
      <c r="H39" s="64" t="s">
        <v>65</v>
      </c>
      <c r="I39" s="61"/>
      <c r="J39" s="60" t="s">
        <v>6</v>
      </c>
      <c r="K39" s="61"/>
    </row>
    <row r="40" spans="1:11" ht="15.75" customHeight="1" x14ac:dyDescent="0.2">
      <c r="A40" s="63"/>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3"/>
      <c r="B41" s="30" t="str">
        <f>RUBRICA!A11</f>
        <v>8. Expone el tema utilizando un lenguaje técnico disciplinar al presentar la propuesta y responde evidenciando un manejo de la información. *</v>
      </c>
      <c r="C41" s="28" t="s">
        <v>74</v>
      </c>
      <c r="D41" s="16" t="str">
        <f t="shared" si="12"/>
        <v/>
      </c>
      <c r="E41" s="16" t="str">
        <f>IF(D41="X",100*0.1,"")</f>
        <v/>
      </c>
      <c r="F41" s="16" t="str">
        <f t="shared" si="13"/>
        <v/>
      </c>
      <c r="G41" s="16" t="str">
        <f>IF(F41="X",60*0.1,"")</f>
        <v/>
      </c>
      <c r="H41" s="16" t="str">
        <f t="shared" si="14"/>
        <v>X</v>
      </c>
      <c r="I41" s="16">
        <f>IF(H41="X",30*0.1,"")</f>
        <v>3</v>
      </c>
      <c r="J41" s="16" t="str">
        <f t="shared" si="15"/>
        <v/>
      </c>
      <c r="K41" s="16" t="str">
        <f t="shared" si="16"/>
        <v/>
      </c>
    </row>
    <row r="42" spans="1:11" x14ac:dyDescent="0.2">
      <c r="A42" s="63"/>
      <c r="B42" s="30" t="str">
        <f>RUBRICA!A13</f>
        <v>10. Colaboración y trabajo en equipo *</v>
      </c>
      <c r="C42" s="28" t="s">
        <v>64</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x14ac:dyDescent="0.25">
      <c r="A43" s="63"/>
      <c r="B43" s="21" t="s">
        <v>70</v>
      </c>
      <c r="C43" s="18">
        <f>E43+G43+I43+K43</f>
        <v>14</v>
      </c>
      <c r="D43" s="19"/>
      <c r="E43" s="19">
        <f>SUM(E40:E42)</f>
        <v>5</v>
      </c>
      <c r="F43" s="19"/>
      <c r="G43" s="19">
        <f>SUM(G40:G42)</f>
        <v>6</v>
      </c>
      <c r="H43" s="19"/>
      <c r="I43" s="19">
        <f>SUM(I40:I42)</f>
        <v>3</v>
      </c>
      <c r="J43" s="19"/>
      <c r="K43" s="19">
        <f>SUM(K41:K42)</f>
        <v>0</v>
      </c>
    </row>
    <row r="44" spans="1:11" ht="15.75" customHeight="1" x14ac:dyDescent="0.25">
      <c r="A44" s="52"/>
      <c r="B44" s="17" t="s">
        <v>67</v>
      </c>
      <c r="C44" s="20">
        <f>VLOOKUP(C43,ESCALA_TRAB_EQUIP!A1:B52,2,FALSE)</f>
        <v>3.8</v>
      </c>
    </row>
    <row r="45" spans="1:11" ht="15.75" customHeight="1" x14ac:dyDescent="0.25">
      <c r="B45" s="22"/>
      <c r="C45" s="23"/>
    </row>
    <row r="46" spans="1:11" ht="15.75" customHeight="1" x14ac:dyDescent="0.25">
      <c r="B46" s="22"/>
      <c r="C46" s="23"/>
    </row>
    <row r="47" spans="1:11" ht="15.75" customHeight="1" x14ac:dyDescent="0.2">
      <c r="A47" s="62" t="s">
        <v>59</v>
      </c>
      <c r="B47" s="51" t="s">
        <v>68</v>
      </c>
      <c r="C47" s="54">
        <f>B6</f>
        <v>0</v>
      </c>
      <c r="D47" s="55"/>
      <c r="E47" s="55"/>
      <c r="F47" s="55"/>
      <c r="G47" s="55"/>
      <c r="H47" s="55"/>
      <c r="I47" s="55"/>
      <c r="J47" s="55"/>
      <c r="K47" s="56"/>
    </row>
    <row r="48" spans="1:11" ht="15.75" customHeight="1" x14ac:dyDescent="0.2">
      <c r="A48" s="63"/>
      <c r="B48" s="52"/>
      <c r="C48" s="57"/>
      <c r="D48" s="58"/>
      <c r="E48" s="58"/>
      <c r="F48" s="58"/>
      <c r="G48" s="58"/>
      <c r="H48" s="58"/>
      <c r="I48" s="58"/>
      <c r="J48" s="58"/>
      <c r="K48" s="59"/>
    </row>
    <row r="49" spans="1:11" ht="15.75" customHeight="1" x14ac:dyDescent="0.2">
      <c r="A49" s="63"/>
      <c r="B49" s="14" t="s">
        <v>69</v>
      </c>
      <c r="C49" s="53" t="s">
        <v>60</v>
      </c>
      <c r="D49" s="60" t="s">
        <v>61</v>
      </c>
      <c r="E49" s="65"/>
      <c r="F49" s="65"/>
      <c r="G49" s="65"/>
      <c r="H49" s="65"/>
      <c r="I49" s="65"/>
      <c r="J49" s="65"/>
      <c r="K49" s="61"/>
    </row>
    <row r="50" spans="1:11" ht="15.75" customHeight="1" x14ac:dyDescent="0.2">
      <c r="A50" s="63"/>
      <c r="B50" s="15" t="s">
        <v>62</v>
      </c>
      <c r="C50" s="52"/>
      <c r="D50" s="60" t="s">
        <v>63</v>
      </c>
      <c r="E50" s="61"/>
      <c r="F50" s="60" t="s">
        <v>64</v>
      </c>
      <c r="G50" s="61"/>
      <c r="H50" s="64" t="s">
        <v>65</v>
      </c>
      <c r="I50" s="61"/>
      <c r="J50" s="60" t="s">
        <v>6</v>
      </c>
      <c r="K50" s="61"/>
    </row>
    <row r="51" spans="1:11" ht="15.75" customHeight="1" x14ac:dyDescent="0.2">
      <c r="A51" s="63"/>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3"/>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
      <c r="A53" s="63"/>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25">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25">
      <c r="A55" s="52"/>
      <c r="B55" s="17" t="s">
        <v>67</v>
      </c>
      <c r="C55" s="20">
        <f>VLOOKUP(C54,ESCALA_TRAB_EQUIP!A1:B52,2,FALSE)</f>
        <v>7</v>
      </c>
    </row>
    <row r="56" spans="1:11" ht="15.75" customHeight="1" x14ac:dyDescent="0.25">
      <c r="B56" s="22"/>
      <c r="C56" s="23"/>
    </row>
    <row r="57" spans="1:11" ht="15.75" customHeight="1" x14ac:dyDescent="0.2">
      <c r="B57" s="73" t="s">
        <v>83</v>
      </c>
    </row>
    <row r="58" spans="1:11" ht="15.75" customHeight="1" x14ac:dyDescent="0.2">
      <c r="B58" s="74" t="s">
        <v>78</v>
      </c>
    </row>
    <row r="59" spans="1:11" ht="15.75" customHeight="1" x14ac:dyDescent="0.2">
      <c r="B59" s="74" t="s">
        <v>79</v>
      </c>
    </row>
    <row r="60" spans="1:11" ht="15.75" customHeight="1" x14ac:dyDescent="0.2">
      <c r="B60" s="74" t="s">
        <v>84</v>
      </c>
    </row>
    <row r="61" spans="1:11" ht="15.75" customHeight="1" x14ac:dyDescent="0.2">
      <c r="B61" s="74" t="s">
        <v>85</v>
      </c>
    </row>
    <row r="62" spans="1:11" ht="15.75" customHeight="1" x14ac:dyDescent="0.2">
      <c r="B62" s="74" t="s">
        <v>80</v>
      </c>
    </row>
    <row r="63" spans="1:11" ht="15.75" customHeight="1" x14ac:dyDescent="0.2">
      <c r="B63" s="74" t="s">
        <v>81</v>
      </c>
    </row>
    <row r="64" spans="1:11" ht="15.75" customHeight="1" x14ac:dyDescent="0.2"/>
    <row r="65" spans="2:2" ht="15.75" customHeight="1" x14ac:dyDescent="0.2"/>
    <row r="66" spans="2:2" ht="15.75" customHeight="1" x14ac:dyDescent="0.2">
      <c r="B66" s="73" t="s">
        <v>82</v>
      </c>
    </row>
    <row r="67" spans="2:2" ht="15.75" customHeight="1" x14ac:dyDescent="0.2">
      <c r="B67" s="73" t="s">
        <v>86</v>
      </c>
    </row>
    <row r="68" spans="2:2" ht="15.75" customHeight="1" x14ac:dyDescent="0.2">
      <c r="B68" s="73" t="s">
        <v>87</v>
      </c>
    </row>
    <row r="69" spans="2:2" ht="15.75" customHeight="1" x14ac:dyDescent="0.2">
      <c r="B69" s="73" t="s">
        <v>88</v>
      </c>
    </row>
    <row r="70" spans="2:2" ht="15.75" customHeight="1" x14ac:dyDescent="0.2"/>
    <row r="71" spans="2:2" ht="15.75" customHeight="1" x14ac:dyDescent="0.2"/>
    <row r="72" spans="2:2" ht="15.75" customHeight="1" x14ac:dyDescent="0.2">
      <c r="B72" s="73" t="s">
        <v>89</v>
      </c>
    </row>
    <row r="73" spans="2:2" ht="15.75" customHeight="1" x14ac:dyDescent="0.2"/>
    <row r="74" spans="2:2" ht="15.75" customHeight="1" x14ac:dyDescent="0.2">
      <c r="B74" s="73" t="s">
        <v>90</v>
      </c>
    </row>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1" t="s">
        <v>73</v>
      </c>
      <c r="B1" s="7" t="s">
        <v>66</v>
      </c>
      <c r="C1" s="8"/>
      <c r="D1" s="8"/>
      <c r="E1" s="9"/>
    </row>
    <row r="2" spans="1:5" ht="49" thickBot="1" x14ac:dyDescent="0.25">
      <c r="A2" s="72"/>
      <c r="B2" s="10" t="s">
        <v>63</v>
      </c>
      <c r="C2" s="11" t="s">
        <v>64</v>
      </c>
      <c r="D2" s="31" t="s">
        <v>74</v>
      </c>
      <c r="E2" s="50"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2026-06-26T19:26:15Z</dcterms:modified>
  <cp:category/>
  <cp:contentStatus/>
</cp:coreProperties>
</file>